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25F8C61-3E7E-49DC-AAE6-A5EC28F53432}" xr6:coauthVersionLast="47" xr6:coauthVersionMax="47" xr10:uidLastSave="{00000000-0000-0000-0000-000000000000}"/>
  <bookViews>
    <workbookView xWindow="-120" yWindow="-120" windowWidth="20730" windowHeight="11040" xr2:uid="{5982661B-ACC5-4B5F-A46C-E4099BBA8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L14" i="1"/>
  <c r="K13" i="1"/>
  <c r="L13" i="1"/>
  <c r="J14" i="1"/>
  <c r="J13" i="1"/>
  <c r="M5" i="1"/>
  <c r="M6" i="1"/>
  <c r="M7" i="1"/>
  <c r="M8" i="1"/>
  <c r="M9" i="1"/>
  <c r="M10" i="1"/>
  <c r="M11" i="1"/>
  <c r="M4" i="1"/>
  <c r="K12" i="1"/>
  <c r="L12" i="1"/>
  <c r="J12" i="1"/>
  <c r="C12" i="1"/>
</calcChain>
</file>

<file path=xl/sharedStrings.xml><?xml version="1.0" encoding="utf-8"?>
<sst xmlns="http://schemas.openxmlformats.org/spreadsheetml/2006/main" count="34" uniqueCount="33">
  <si>
    <t>SR NO</t>
  </si>
  <si>
    <t>Name Employee</t>
  </si>
  <si>
    <t>Salary</t>
  </si>
  <si>
    <t>Age</t>
  </si>
  <si>
    <t>City</t>
  </si>
  <si>
    <t>Dipak</t>
  </si>
  <si>
    <t>Yash</t>
  </si>
  <si>
    <t>Raj</t>
  </si>
  <si>
    <t>Ganesh</t>
  </si>
  <si>
    <t>Manoj</t>
  </si>
  <si>
    <t>Vishal</t>
  </si>
  <si>
    <t>Nikhil</t>
  </si>
  <si>
    <t>Rhisi</t>
  </si>
  <si>
    <t>Sandeep</t>
  </si>
  <si>
    <t>JayKumar</t>
  </si>
  <si>
    <t>Jalgaon</t>
  </si>
  <si>
    <t>Pune</t>
  </si>
  <si>
    <t>Nashik</t>
  </si>
  <si>
    <t>Malkakapur</t>
  </si>
  <si>
    <t>Rawel</t>
  </si>
  <si>
    <t>Jamner</t>
  </si>
  <si>
    <t>Shirpur</t>
  </si>
  <si>
    <t>Surat</t>
  </si>
  <si>
    <t>Indore</t>
  </si>
  <si>
    <t>ShindKheda</t>
  </si>
  <si>
    <t>Joining Date</t>
  </si>
  <si>
    <t>Total</t>
  </si>
  <si>
    <t>Sub2</t>
  </si>
  <si>
    <t>Sub1</t>
  </si>
  <si>
    <t>Sub3</t>
  </si>
  <si>
    <t>Avg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</si>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</sst>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ont="1" applyFill="1" applyBorder="1"/>
    <xf numFmtId="168" fontId="0" fillId="2" borderId="1" xfId="0" applyNumberFormat="1" applyFont="1" applyFill="1" applyBorder="1"/>
    <xf numFmtId="168" fontId="0" fillId="0" borderId="0" xfId="0" applyNumberFormat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68" fontId="0" fillId="4" borderId="0" xfId="0" applyNumberFormat="1" applyFill="1"/>
    <xf numFmtId="0" fontId="0" fillId="9" borderId="1" xfId="0" applyFill="1" applyBorder="1"/>
    <xf numFmtId="168" fontId="0" fillId="9" borderId="1" xfId="0" applyNumberFormat="1" applyFill="1" applyBorder="1"/>
    <xf numFmtId="14" fontId="0" fillId="9" borderId="1" xfId="0" applyNumberFormat="1" applyFill="1" applyBorder="1"/>
    <xf numFmtId="0" fontId="1" fillId="9" borderId="1" xfId="0" applyFont="1" applyFill="1" applyBorder="1"/>
  </cellXfs>
  <cellStyles count="1">
    <cellStyle name="Normal" xfId="0" builtinId="0"/>
  </cellStyles>
  <dxfs count="55">
    <dxf>
      <numFmt numFmtId="2" formatCode="0.00"/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BB5C-E6B5-424D-AA61-C71E81D9F90C}">
  <dimension ref="A1:M14"/>
  <sheetViews>
    <sheetView tabSelected="1" workbookViewId="0">
      <selection activeCell="E1" sqref="E1:E1048576"/>
    </sheetView>
  </sheetViews>
  <sheetFormatPr defaultRowHeight="15" x14ac:dyDescent="0.25"/>
  <cols>
    <col min="1" max="1" width="6.42578125" bestFit="1" customWidth="1"/>
    <col min="2" max="2" width="15.7109375" bestFit="1" customWidth="1"/>
    <col min="3" max="3" width="11.7109375" style="4" bestFit="1" customWidth="1"/>
    <col min="4" max="4" width="4.42578125" bestFit="1" customWidth="1"/>
    <col min="5" max="5" width="11.5703125" bestFit="1" customWidth="1"/>
    <col min="6" max="6" width="11.85546875" bestFit="1" customWidth="1"/>
  </cols>
  <sheetData>
    <row r="1" spans="1:13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25</v>
      </c>
    </row>
    <row r="2" spans="1:13" x14ac:dyDescent="0.25">
      <c r="A2" s="13">
        <v>1</v>
      </c>
      <c r="B2" s="13" t="s">
        <v>5</v>
      </c>
      <c r="C2" s="14">
        <v>20000</v>
      </c>
      <c r="D2" s="13">
        <v>22</v>
      </c>
      <c r="E2" s="13" t="s">
        <v>15</v>
      </c>
      <c r="F2" s="15">
        <v>43831</v>
      </c>
    </row>
    <row r="3" spans="1:13" x14ac:dyDescent="0.25">
      <c r="A3" s="13">
        <v>2</v>
      </c>
      <c r="B3" s="13" t="s">
        <v>6</v>
      </c>
      <c r="C3" s="14">
        <v>7000</v>
      </c>
      <c r="D3" s="13">
        <v>23</v>
      </c>
      <c r="E3" s="13" t="s">
        <v>16</v>
      </c>
      <c r="F3" s="15">
        <v>43832</v>
      </c>
      <c r="J3" s="6" t="s">
        <v>28</v>
      </c>
      <c r="K3" s="6" t="s">
        <v>27</v>
      </c>
      <c r="L3" s="6" t="s">
        <v>29</v>
      </c>
      <c r="M3" s="7" t="s">
        <v>26</v>
      </c>
    </row>
    <row r="4" spans="1:13" x14ac:dyDescent="0.25">
      <c r="A4" s="13">
        <v>3</v>
      </c>
      <c r="B4" s="13" t="s">
        <v>7</v>
      </c>
      <c r="C4" s="14">
        <v>10000</v>
      </c>
      <c r="D4" s="13">
        <v>22</v>
      </c>
      <c r="E4" s="13" t="s">
        <v>17</v>
      </c>
      <c r="F4" s="15">
        <v>43833</v>
      </c>
      <c r="J4" s="8">
        <v>47</v>
      </c>
      <c r="K4" s="8">
        <v>61</v>
      </c>
      <c r="L4" s="8">
        <v>37</v>
      </c>
      <c r="M4" s="13">
        <f>SUM(J4:L4)+10</f>
        <v>155</v>
      </c>
    </row>
    <row r="5" spans="1:13" x14ac:dyDescent="0.25">
      <c r="A5" s="13">
        <v>4</v>
      </c>
      <c r="B5" s="13" t="s">
        <v>8</v>
      </c>
      <c r="C5" s="14">
        <v>70000</v>
      </c>
      <c r="D5" s="13">
        <v>21</v>
      </c>
      <c r="E5" s="13" t="s">
        <v>18</v>
      </c>
      <c r="F5" s="15">
        <v>43834</v>
      </c>
      <c r="J5" s="8">
        <v>14</v>
      </c>
      <c r="K5" s="8">
        <v>75</v>
      </c>
      <c r="L5" s="8">
        <v>29</v>
      </c>
      <c r="M5" s="13">
        <f t="shared" ref="M5:M11" si="0">SUM(J5:L5)+10</f>
        <v>128</v>
      </c>
    </row>
    <row r="6" spans="1:13" x14ac:dyDescent="0.25">
      <c r="A6" s="13">
        <v>5</v>
      </c>
      <c r="B6" s="13" t="s">
        <v>9</v>
      </c>
      <c r="C6" s="14">
        <v>40000</v>
      </c>
      <c r="D6" s="13">
        <v>20</v>
      </c>
      <c r="E6" s="13" t="s">
        <v>19</v>
      </c>
      <c r="F6" s="15">
        <v>43835</v>
      </c>
      <c r="J6" s="8">
        <v>82</v>
      </c>
      <c r="K6" s="8">
        <v>30</v>
      </c>
      <c r="L6" s="8">
        <v>24</v>
      </c>
      <c r="M6" s="13">
        <f t="shared" si="0"/>
        <v>146</v>
      </c>
    </row>
    <row r="7" spans="1:13" x14ac:dyDescent="0.25">
      <c r="A7" s="13">
        <v>6</v>
      </c>
      <c r="B7" s="13" t="s">
        <v>10</v>
      </c>
      <c r="C7" s="14">
        <v>120000</v>
      </c>
      <c r="D7" s="13">
        <v>23</v>
      </c>
      <c r="E7" s="16" t="s">
        <v>20</v>
      </c>
      <c r="F7" s="15">
        <v>43836</v>
      </c>
      <c r="J7" s="8">
        <v>82</v>
      </c>
      <c r="K7" s="8">
        <v>47</v>
      </c>
      <c r="L7" s="8">
        <v>15</v>
      </c>
      <c r="M7" s="13">
        <f t="shared" si="0"/>
        <v>154</v>
      </c>
    </row>
    <row r="8" spans="1:13" x14ac:dyDescent="0.25">
      <c r="A8" s="13">
        <v>7</v>
      </c>
      <c r="B8" s="13" t="s">
        <v>11</v>
      </c>
      <c r="C8" s="14">
        <v>56000</v>
      </c>
      <c r="D8" s="13">
        <v>21</v>
      </c>
      <c r="E8" s="13" t="s">
        <v>21</v>
      </c>
      <c r="F8" s="15">
        <v>43837</v>
      </c>
      <c r="J8" s="8">
        <v>49</v>
      </c>
      <c r="K8" s="8">
        <v>55</v>
      </c>
      <c r="L8" s="8">
        <v>16</v>
      </c>
      <c r="M8" s="13">
        <f t="shared" si="0"/>
        <v>130</v>
      </c>
    </row>
    <row r="9" spans="1:13" x14ac:dyDescent="0.25">
      <c r="A9" s="13">
        <v>8</v>
      </c>
      <c r="B9" s="13" t="s">
        <v>12</v>
      </c>
      <c r="C9" s="14">
        <v>40000</v>
      </c>
      <c r="D9" s="13">
        <v>20</v>
      </c>
      <c r="E9" s="13" t="s">
        <v>22</v>
      </c>
      <c r="F9" s="15">
        <v>43838</v>
      </c>
      <c r="J9" s="8">
        <v>66</v>
      </c>
      <c r="K9" s="8">
        <v>72</v>
      </c>
      <c r="L9" s="8">
        <v>22</v>
      </c>
      <c r="M9" s="13">
        <f t="shared" si="0"/>
        <v>170</v>
      </c>
    </row>
    <row r="10" spans="1:13" x14ac:dyDescent="0.25">
      <c r="A10" s="13">
        <v>9</v>
      </c>
      <c r="B10" s="13" t="s">
        <v>13</v>
      </c>
      <c r="C10" s="14">
        <v>20000</v>
      </c>
      <c r="D10" s="13">
        <v>21</v>
      </c>
      <c r="E10" s="13" t="s">
        <v>23</v>
      </c>
      <c r="F10" s="15">
        <v>43839</v>
      </c>
      <c r="J10" s="8">
        <v>80</v>
      </c>
      <c r="K10" s="8">
        <v>16</v>
      </c>
      <c r="L10" s="8">
        <v>57</v>
      </c>
      <c r="M10" s="13">
        <f t="shared" si="0"/>
        <v>163</v>
      </c>
    </row>
    <row r="11" spans="1:13" x14ac:dyDescent="0.25">
      <c r="A11" s="13">
        <v>10</v>
      </c>
      <c r="B11" s="13" t="s">
        <v>14</v>
      </c>
      <c r="C11" s="14">
        <v>13000</v>
      </c>
      <c r="D11" s="13">
        <v>22</v>
      </c>
      <c r="E11" s="13" t="s">
        <v>24</v>
      </c>
      <c r="F11" s="15">
        <v>43840</v>
      </c>
      <c r="J11" s="8">
        <v>32</v>
      </c>
      <c r="K11" s="8">
        <v>97</v>
      </c>
      <c r="L11" s="8">
        <v>80</v>
      </c>
      <c r="M11" s="13">
        <f t="shared" si="0"/>
        <v>219</v>
      </c>
    </row>
    <row r="12" spans="1:13" x14ac:dyDescent="0.25">
      <c r="A12" s="5" t="s">
        <v>26</v>
      </c>
      <c r="C12" s="12">
        <f>SUM(C2:C11)</f>
        <v>396000</v>
      </c>
      <c r="I12" t="s">
        <v>30</v>
      </c>
      <c r="J12" s="9">
        <f>AVERAGE(J4:J11)</f>
        <v>56.5</v>
      </c>
      <c r="K12" s="9">
        <f t="shared" ref="K12:L12" si="1">AVERAGE(K4:K11)</f>
        <v>56.625</v>
      </c>
      <c r="L12" s="9">
        <f t="shared" si="1"/>
        <v>35</v>
      </c>
      <c r="M12" s="1"/>
    </row>
    <row r="13" spans="1:13" x14ac:dyDescent="0.25">
      <c r="I13" t="s">
        <v>31</v>
      </c>
      <c r="J13" s="10">
        <f>MAX(J4:J11)</f>
        <v>82</v>
      </c>
      <c r="K13" s="10">
        <f t="shared" ref="K13:L13" si="2">MAX(K4:K11)</f>
        <v>97</v>
      </c>
      <c r="L13" s="10">
        <f t="shared" si="2"/>
        <v>80</v>
      </c>
      <c r="M13" s="1"/>
    </row>
    <row r="14" spans="1:13" x14ac:dyDescent="0.25">
      <c r="I14" t="s">
        <v>32</v>
      </c>
      <c r="J14" s="11">
        <f>MIN(J4:J11)</f>
        <v>14</v>
      </c>
      <c r="K14" s="11">
        <f t="shared" ref="K14:L14" si="3">MIN(K4:K11)</f>
        <v>16</v>
      </c>
      <c r="L14" s="11">
        <f t="shared" si="3"/>
        <v>15</v>
      </c>
      <c r="M14" s="1"/>
    </row>
  </sheetData>
  <conditionalFormatting sqref="C12">
    <cfRule type="cellIs" dxfId="9" priority="9" operator="between">
      <formula>"₹ 20,000.00"</formula>
      <formula>"₹ 50,000.00"</formula>
    </cfRule>
    <cfRule type="cellIs" dxfId="8" priority="11" operator="greaterThan">
      <formula>"₹ 20,000.00"</formula>
    </cfRule>
    <cfRule type="cellIs" dxfId="7" priority="12" operator="lessThan">
      <formula>"₹ 20,000.00"</formula>
    </cfRule>
  </conditionalFormatting>
  <conditionalFormatting sqref="C2:C11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{6228A14C-A2A0-4325-8612-97A92DB16A53}</x14:id>
        </ext>
      </extLst>
    </cfRule>
    <cfRule type="top10" dxfId="6" priority="6" rank="5"/>
    <cfRule type="cellIs" dxfId="5" priority="8" operator="between">
      <formula>"₹ 35,250.00"</formula>
      <formula>"₹ 91,750.00"</formula>
    </cfRule>
    <cfRule type="cellIs" dxfId="4" priority="10" operator="lessThan">
      <formula>"₹ 20,500.00"</formula>
    </cfRule>
  </conditionalFormatting>
  <conditionalFormatting sqref="J4:L11">
    <cfRule type="top10" dxfId="3" priority="7" rank="6"/>
  </conditionalFormatting>
  <conditionalFormatting sqref="C2:C12">
    <cfRule type="cellIs" dxfId="2" priority="5" operator="lessThan">
      <formula>"₹ 7,500.00"</formula>
    </cfRule>
  </conditionalFormatting>
  <conditionalFormatting sqref="M4:M1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{FA688999-6049-4C33-B956-CBD0C3867A36}</x14:id>
        </ext>
      </extLst>
    </cfRule>
  </conditionalFormatting>
  <conditionalFormatting sqref="A2:F11">
    <cfRule type="expression" dxfId="1" priority="1">
      <formula>$D2=20</formula>
    </cfRule>
    <cfRule type="expression" dxfId="0" priority="2">
      <formula>$D2="20"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28A14C-A2A0-4325-8612-97A92DB16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C2:C11</xm:sqref>
        </x14:conditionalFormatting>
        <x14:conditionalFormatting xmlns:xm="http://schemas.microsoft.com/office/excel/2006/main">
          <x14:cfRule type="dataBar" id="{FA688999-6049-4C33-B956-CBD0C3867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M4:M11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patil</dc:creator>
  <cp:lastModifiedBy>mayur patil</cp:lastModifiedBy>
  <dcterms:created xsi:type="dcterms:W3CDTF">2026-03-09T18:57:37Z</dcterms:created>
  <dcterms:modified xsi:type="dcterms:W3CDTF">2026-03-09T20:31:45Z</dcterms:modified>
</cp:coreProperties>
</file>